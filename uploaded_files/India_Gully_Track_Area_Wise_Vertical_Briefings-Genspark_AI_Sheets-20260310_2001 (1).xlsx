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runk\Downloads\"/>
    </mc:Choice>
  </mc:AlternateContent>
  <xr:revisionPtr revIDLastSave="0" documentId="13_ncr:1_{80CDED57-F789-45A8-B5FD-7D883E69625A}" xr6:coauthVersionLast="47" xr6:coauthVersionMax="47" xr10:uidLastSave="{00000000-0000-0000-0000-000000000000}"/>
  <bookViews>
    <workbookView xWindow="-98" yWindow="-98" windowWidth="21795" windowHeight="12975" xr2:uid="{00000000-000D-0000-FFFF-FFFF00000000}"/>
  </bookViews>
  <sheets>
    <sheet name="Mandates Portfolio" sheetId="1" r:id="rId1"/>
    <sheet name="Vertical Track Record Portfol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1" l="1"/>
</calcChain>
</file>

<file path=xl/sharedStrings.xml><?xml version="1.0" encoding="utf-8"?>
<sst xmlns="http://schemas.openxmlformats.org/spreadsheetml/2006/main" count="136" uniqueCount="128">
  <si>
    <t>Hospitality Mandates Portfolio - Current Pipeline Overview</t>
  </si>
  <si>
    <t>Est. Value (₹ Cr)</t>
  </si>
  <si>
    <t>Entity / Legal Name</t>
  </si>
  <si>
    <t>Source of Information</t>
  </si>
  <si>
    <t>Project Name</t>
  </si>
  <si>
    <t>Location / Market</t>
  </si>
  <si>
    <t>Asset Classification</t>
  </si>
  <si>
    <t>Room Inventory</t>
  </si>
  <si>
    <t>Investment Thesis</t>
  </si>
  <si>
    <t>Deal Status</t>
  </si>
  <si>
    <t>Estimated Value (₹ Cr)</t>
  </si>
  <si>
    <t>IG Point of Contact</t>
  </si>
  <si>
    <t>Confidential (JLL Listed)</t>
  </si>
  <si>
    <t>https://property.jll.co.in/listings/prism-tower-gurgaon-faridabad-road-baliawas-bandhwari</t>
  </si>
  <si>
    <t>Prism Tower</t>
  </si>
  <si>
    <t>Gurgaon-Faridabad Road, Gwalpahari, Gurugram</t>
  </si>
  <si>
    <t>Mixed-Use Hospitality &amp; Commercial (Part of 4-Star Hotel Property)</t>
  </si>
  <si>
    <t>312 Keys</t>
  </si>
  <si>
    <t>100% Asset Acquisition Opportunity: Institutional-grade mixed-use commercial building on Gurgaon-Faridabad Road, part of a 4-star hotel property. Located within 10 km of Sikanderpur Metro Station with excellent road connectivity to all major Gurugram micro-markets. 5-star hotels, hospitals, and malls within 2 km radius. Offers multiple exit strategies including REIT listing potential or strata sale model. Ideal for institutional investors seeking core+ returns.</t>
  </si>
  <si>
    <t>Reference Transaction – Due Diligence Stage</t>
  </si>
  <si>
    <t xml:space="preserve">Arun Manikonda </t>
  </si>
  <si>
    <t>Belcibo Hospitality Platform</t>
  </si>
  <si>
    <t>Delhi NCR &amp; Goa</t>
  </si>
  <si>
    <t>Multi-brand F&amp;B Platform</t>
  </si>
  <si>
    <t>Not Applicable</t>
  </si>
  <si>
    <t>Growth Equity Investment: Scalable multi-brand F&amp;B platform operating across Delhi NCR and Goa markets. Seeking strategic capital partner to accelerate brand portfolio expansion. Strong unit economics with proven operational playbook ready for pan-India rollout.</t>
  </si>
  <si>
    <t>Open for Investment – Active Fundraise</t>
  </si>
  <si>
    <t>Rajshree Hotels Pvt. Ltd.</t>
  </si>
  <si>
    <t>https://hotelrajshreechandigarh.com/</t>
  </si>
  <si>
    <t>Hotel Rajshree &amp; Spa</t>
  </si>
  <si>
    <t>Industrial Area Phase I, Chandigarh</t>
  </si>
  <si>
    <t>Boutique Hotel with Spa &amp; Wellness</t>
  </si>
  <si>
    <t>41 Keys</t>
  </si>
  <si>
    <t>Stabilised Asset Sale: Fully operational boutique hotel and spa in Chandigarh's prime Industrial Area Phase I, near Tribune Chowk. Features well-appointed rooms including Super Deluxe, Family Suites, and Honeymoon Suites. Full amenities include premium spa, in-house restaurant, bar, conference facilities, free WiFi, and complimentary parking. Strong RevPAR performance with potential for brand affiliation upgrade. Attractive entry point for investors seeking cash-yielding hospitality assets with wellness positioning.</t>
  </si>
  <si>
    <t>Asset Sale – Actively Marketing</t>
  </si>
  <si>
    <t>Amit jhingan</t>
  </si>
  <si>
    <t>ITC WelcomHeritage – Santa Roza</t>
  </si>
  <si>
    <t>https://www.welcomheritagehotels.in/hotel-details/santa-roza-kasauli/</t>
  </si>
  <si>
    <t>WelcomHeritage Santa Roza</t>
  </si>
  <si>
    <t>Mauza Kot, Kasauli, Himachal Pradesh</t>
  </si>
  <si>
    <t>Luxury Heritage Resort (2-Acre Estate)</t>
  </si>
  <si>
    <t>44 Keys</t>
  </si>
  <si>
    <t>Heritage Asset Divestiture: Established luxury heritage resort under ITC WelcomHeritage brand, sprawled across 2 acres in scenic Kasauli at pine forest elevation. Victorian-themed architecture with British-era charm. Room categories include Deluxe (280 sq.ft.), Suites (340 sq.ft.), Cottages (420 sq.ft.), and Family Suites (1180 sq.ft.). Premium amenities: Nirvana multi-cuisine restaurant, Aviary bar with woodland views, Milo's garden café, state-of-the-art fitness center, spa, and plunge pool. Benefits from Himachal Pradesh tourism incentives and tax subsidies. 15-16 km from Mall Road and local attractions.</t>
  </si>
  <si>
    <t>Asset Sale – Seller Mandated</t>
  </si>
  <si>
    <t>Belcibo</t>
  </si>
  <si>
    <t>Heritage Hotel Structure</t>
  </si>
  <si>
    <t>Jaipur, Rajasthan</t>
  </si>
  <si>
    <t>Hospitality Structure</t>
  </si>
  <si>
    <t>43 Keys</t>
  </si>
  <si>
    <t>Structure Sale Opportunity: 43-key hospitality structure in Jaipur's tourism corridor, construction-complete and ready for interior fit-out. Significant cost savings versus ground-up development. Suitable for operators seeking quick market entry in Rajasthan's heritage tourism market.</t>
  </si>
  <si>
    <t>Structure Sale – Ready for Fit-Out</t>
  </si>
  <si>
    <t>Mapple Resorts Pvt. Ltd.</t>
  </si>
  <si>
    <t>https://www.mapleresorts.in/</t>
  </si>
  <si>
    <t>Maple Resort Chail</t>
  </si>
  <si>
    <t>Chail, Himachal Pradesh (2,515m elevation)</t>
  </si>
  <si>
    <t>Boutique Mountain Resort</t>
  </si>
  <si>
    <t>30 Keys</t>
  </si>
  <si>
    <t>Operational Leisure Asset: Premium boutique mountain resort with 30 keys (Suites, Executive, and Super Deluxe rooms) perched at 2,515 metres in the Himalayas. Surrounded by pine and maple forests with panoramic mountain views. Full amenities: multi-cuisine restaurant, private balconies, free WiFi, parking, elevator, mini bar, AC/heating, and pet-friendly policy. Near Chail Palace (4 km), historic cricket ground, and Kali Ka Tibba temple. Established guest base with strong leisure and wellness tourism demand. Offers immediate cash flows with upside potential.</t>
  </si>
  <si>
    <t>Asset Sale – Owner Direct</t>
  </si>
  <si>
    <t>Ambience Group (JLL Listed)</t>
  </si>
  <si>
    <t>https://property.jll.co.in/listings/ambience-tower-shalimar-bagh-plot-no-10-b-block-community-centre</t>
  </si>
  <si>
    <t>Ambience Tower</t>
  </si>
  <si>
    <t>Shalimar Bagh, Rohini, North Delhi</t>
  </si>
  <si>
    <t>Grade-A Commercial Tower (Adaptive Reuse)</t>
  </si>
  <si>
    <t>Adaptive Reuse Opportunity: Grade-A commercial tower developed by Ambience Pvt Ltd in Rohini, North Delhi. Excellent metro connectivity - 0.6 km from Rohini West Metro Station. 5-star hotels, hospitals, and malls within 2-5 km radius. Strong road and metro connectivity to all major Delhi NCR micro-markets. Conversion-ready for hospitality or hybrid hotel-office use. Ideal for developers seeking value-add repositioning play in established North Delhi location.</t>
  </si>
  <si>
    <t>Conversion Opportunity – Technical Feasibility Complete</t>
  </si>
  <si>
    <t>Sawasdee JLG Galleria</t>
  </si>
  <si>
    <t>Proprietary Sourcing</t>
  </si>
  <si>
    <t>Mixed-Use Hotel &amp; Mall</t>
  </si>
  <si>
    <t>Noida</t>
  </si>
  <si>
    <t>Mall + Hotel</t>
  </si>
  <si>
    <t>114 Keys</t>
  </si>
  <si>
    <t>Mixed-Use Development: Structure-ready 114-key hotel integrated with retail mall in Noida's commercial corridor. Independent access and operational flexibility for hotel component. Attractive entry for investors seeking integrated hospitality-retail assets with multiple revenue streams.</t>
  </si>
  <si>
    <t>Outright Sale – Negotiation Ready</t>
  </si>
  <si>
    <t>PORTFOLIO SUMMARY</t>
  </si>
  <si>
    <t>Total Pipeline Value</t>
  </si>
  <si>
    <t>Report Generated: 10 March 2026 | Confidential – For Internal Use Only</t>
  </si>
  <si>
    <t>India Gully Track – Completed Projects Portfolio by Vertical</t>
  </si>
  <si>
    <t>Real Estate Vertical</t>
  </si>
  <si>
    <t>Retail &amp; Leasing Vertical</t>
  </si>
  <si>
    <t>Hospitality Vertical</t>
  </si>
  <si>
    <t>Entertainment Vertical</t>
  </si>
  <si>
    <t>Debt &amp; Special Situations Vertical</t>
  </si>
  <si>
    <t>HORECA Vertical</t>
  </si>
  <si>
    <t>KEY: Real Estate deal values to be highlighted</t>
  </si>
  <si>
    <t>KEY: Retail &amp; Leasing square footage to be highlighted</t>
  </si>
  <si>
    <t>KEY: Hospitality projects to be highlighted</t>
  </si>
  <si>
    <t>KEY: Entertainment transactions to be highlighted</t>
  </si>
  <si>
    <t>KEY: Debt &amp; Special Situations deal values to be highlighted</t>
  </si>
  <si>
    <t>KEY: HORECA projects to be highlighted</t>
  </si>
  <si>
    <t>800 Sq. Yard Asset Takeover &amp; Strata Sale Mandate – Anand Lok, New Delhi: Executed a strategic acquisition of a prime South Delhi property, successfully managing the complete takeover valued at ₹50+ Crores. Delivered an exceptional ₹65+ Crores exit within a 6-month turnaround, demonstrating superior deal structuring and market timing expertise.</t>
  </si>
  <si>
    <t>Imperfecto Shor – Golf Course Road, Gurugram: Secured prime F&amp;B retail space for this popular nightlife and dining destination on Gurugram's prestigious Golf Course Road, ensuring optimal visibility and footfall for the brand's flagship outlet.</t>
  </si>
  <si>
    <t>PMC – Turnkey Project: Fern Residency, Noida: Delivered end-to-end Project Management Consultancy for the turnkey development of Fern Residency in Noida. Managed complete project lifecycle from design coordination through construction supervision to successful operational handover, ensuring brand compliance and quality standards.</t>
  </si>
  <si>
    <t>Due Diligence (Client-Side SPOC) – Entertainment City Limited for Adlabs Imagica | ₹500 Cr Transaction: Served as the dedicated Client-Side Single Point of Contact for comprehensive due diligence in Entertainment City Limited's evaluation of Adlabs Imagica acquisition. Coordinated financial, legal, operational, and technical assessments for this ₹500 Crore entertainment sector transaction.</t>
  </si>
  <si>
    <t>Entertainment City Limited – 100% Divestment as Joint Transaction Advisors alongside EY | Transaction Size: ₹1,350+ Crores: Partnered with EY as Joint Transaction Advisors for the complete 100% divestment of Entertainment City Limited. Managed complex stakeholder negotiations, structured deal documentation, and coordinated multi-party due diligence for this landmark ₹1,350+ Crore transaction in the entertainment and real estate sector.</t>
  </si>
  <si>
    <t>HORECA Supplies – Mahindra Holidays &amp; Resorts India Ltd. | Multiple Locations: Established strategic HORECA supply partnership with Mahindra Holidays &amp; Resorts India Limited, one of India's largest leisure hospitality companies. Delivered comprehensive F&amp;B equipment, kitchen solutions, and operational supplies across their pan-India resort network.</t>
  </si>
  <si>
    <t>Jaipur Resort Mandate – Premium Leisure Asset Sale: Advised on the successful divestment of a well-positioned resort property in Jaipur's hospitality corridor. Achieved a transaction value of ₹20+ Crores through targeted investor outreach and comprehensive deal documentation.</t>
  </si>
  <si>
    <t>Khubani at Hyatt Andaz Delhi – 42,000 Sq. Ft. Premium Dining Destination: Negotiated and executed leasing for a signature 27,000 + 15,000 Sq. Ft. restaurant space within the iconic Hyatt Andaz property, positioning Khubani as a landmark culinary destination in the capital.</t>
  </si>
  <si>
    <t>PMC – Turnkey Project: Regenta Central, Noida: Executed comprehensive PMC services for Regenta Central's Noida property, overseeing all aspects of hotel development including interior fit-out, MEP coordination, and pre-opening preparations to deliver a market-ready hospitality asset.</t>
  </si>
  <si>
    <t>Worlds of Wonder Park – Post-COVID Re-opening &amp; Lease | 10-Acre World-Class Waterpark at Entertainment City, Noida: Orchestrated the strategic re-opening of India's premier waterpark following COVID-19 closure. Managed lease negotiations and operational revival planning for this 10-acre world-class attraction, restoring it as NCR's flagship family entertainment destination.</t>
  </si>
  <si>
    <t>HORECA Supplies – Sterling Holidays &amp; Resorts Ltd. | Multiple Locations: Secured multi-location HORECA supply contract with Sterling Holidays &amp; Resorts, providing end-to-end hospitality equipment and consumables across their diverse portfolio of leisure destinations nationwide.</t>
  </si>
  <si>
    <t>Entertainment City Limited – Landmark Divestment Transaction: Served as Joint Transaction Advisors alongside EY for the 100% divestment of Entertainment City Limited. Managed end-to-end transaction advisory for this landmark deal valued at ₹1,350+ Crores, one of the largest entertainment sector transactions in the region.</t>
  </si>
  <si>
    <t>Begum &amp; Noor at Entertainment City, Noida – 22,000 Sq. Ft. Lifestyle F&amp;B Complex: Facilitated the leasing of a substantial 22,000 Sq. Ft. space for this premium dining and entertainment concept, strategically located within Noida's premier entertainment hub.</t>
  </si>
  <si>
    <t>PMC – Cygnett Inn, Jim Corbett National Park: Provided full-spectrum project management for this scenic wilderness retreat at Jim Corbett National Park. Coordinated eco-sensitive construction practices while ensuring premium guest experience standards for this nature-focused hospitality destination.</t>
  </si>
  <si>
    <t>HORECA Supplies – CGH Earth Hotels: Partnered with CGH Earth, the renowned eco-luxury hospitality brand, to supply premium HORECA products aligned with their sustainability ethos. Delivered curated solutions supporting their commitment to responsible tourism across Kerala and South India properties.</t>
  </si>
  <si>
    <t>Lutyens' Delhi Prime Property – Ultra-Premium Residential Transaction: Facilitated the acquisition of an exclusive 1,600 Sq. Yard property in Lutyens' Delhi, India's most prestigious residential enclave. Structured the ₹150+ Crores transaction for a distinguished family office, ensuring complete confidentiality and seamless execution.</t>
  </si>
  <si>
    <t>Sutra at Entertainment City, Noida – 15,000 Sq. Ft. Experiential Dining Venue: Secured a 15,000 Sq. Ft. prime location for Sutra's immersive dining experience, contributing to Entertainment City's vibrant culinary ecosystem.</t>
  </si>
  <si>
    <t>PMC – Turnkey Project: Maricham Kabab Estate: Managed the complete turnkey development of Maricham Kabab Estate, a specialty dining destination. Oversaw concept-to-completion delivery including kitchen design, ambiance creation, and operational setup for this signature F&amp;B establishment.</t>
  </si>
  <si>
    <t>HORECA Supplies – Accor Hotels (Novotel), Bengaluru: Executed HORECA supply mandate for Novotel Bengaluru, part of the global Accor hospitality network. Provided international-standard kitchen equipment, tableware, and operational supplies meeting Accor's stringent brand specifications.</t>
  </si>
  <si>
    <t>Greater Kailash-1 Premium Asset – High-Value Residential Deal: Concluded the sale of a 1,000 Sq. Yard premium property in South Delhi's sought-after GK-1 locality. Transaction value exceeded ₹60+ Crores, reflecting the asset's prime location and development potential.</t>
  </si>
  <si>
    <t>Impulse at Gardens Galleria, Noida – 9,000 Sq. Ft. Contemporary Lounge: Executed leasing for a 9,000 Sq. Ft. premium space at Gardens Galleria, establishing Impulse as a key anchor in Noida's premier lifestyle mall.</t>
  </si>
  <si>
    <t>Complete Internal Signage Plan &amp; Design – Grand Hyatt, Gurugram: Conceptualized and executed the comprehensive internal signage and wayfinding system for Grand Hyatt Gurugram. Delivered brand-aligned visual communication solutions enhancing guest navigation and property aesthetics across all public areas.</t>
  </si>
  <si>
    <t>HORECA Supplies – Escapade Resorts Pvt. Ltd. | Marari Beach Resort, Alleppey: Delivered tailored HORECA solutions for Marari Beach Resort in Kerala's backwaters, supplying beach resort-specific equipment and sustainable hospitality products complementing the property's eco-conscious positioning.</t>
  </si>
  <si>
    <t>Dearie at Gardens Galleria, Noida – 9,000 Sq. Ft. Upscale Café &amp; Lounge: Negotiated favorable lease terms for a 9,000 Sq. Ft. space, enabling Dearie to establish its refined café concept in a high-footfall retail environment.</t>
  </si>
  <si>
    <t>External &amp; Internal Signage – Leisure Hotels, Vrindavan: Designed and implemented a complete signage ecosystem for Leisure Hotels' Vrindavan property. Created cohesive external branding and internal wayfinding solutions reflecting the spiritual and heritage character of the destination.</t>
  </si>
  <si>
    <t>HORECA Supplies – Coastal Resorts India Ltd. | Brunton Boatyard, Kochi: Provided specialized HORECA supplies for the heritage Brunton Boatyard property in Fort Kochi. Sourced period-appropriate and premium-quality hospitality equipment reflecting the property's colonial heritage character.</t>
  </si>
  <si>
    <t>Maricham at Gardens Galleria, Noida – 7,000 Sq. Ft. Fine Dining Restaurant: Secured strategic positioning for Maricham's 7,000 Sq. Ft. kebab and grill specialty restaurant within the mall's premium dining cluster.</t>
  </si>
  <si>
    <t>PMC – Habibi at Andaz Aerocity, Delhi: Provided specialized PMC services for Habibi restaurant's establishment within the prestigious Andaz Aerocity property. Managed fit-out coordination, compliance approvals, and operational readiness for this premium Middle Eastern dining concept.</t>
  </si>
  <si>
    <t>HORECA Supplies – Regenta Hotels | Multiple Locations: Established pan-India HORECA supply framework with Regenta Hotels, Royal Orchid's mid-scale brand. Delivered standardized hospitality equipment and supplies ensuring consistent service quality across their expanding property portfolio.</t>
  </si>
  <si>
    <t>Clinique at Gardens Galleria, Noida – 6,000 Sq. Ft. Beauty &amp; Wellness Retail: Facilitated leasing of 6,000 Sq. Ft. for Clinique's retail presence, enhancing the mall's premium beauty and lifestyle offerings.</t>
  </si>
  <si>
    <t>PMC – Hosur Hotel &amp; Hills: Delivered comprehensive project management consultancy for this hill-station hospitality development in Hosur. Supervised construction quality, timeline management, and brand standard implementation for this emerging leisure destination.</t>
  </si>
  <si>
    <t>HORECA Supplies – Cygnett Hotels | Multiple Locations: Secured comprehensive HORECA supply agreement with Cygnett Hotels &amp; Resorts, supporting their rapid expansion across tier-2 and tier-3 cities with quality hospitality infrastructure and operational supplies.</t>
  </si>
  <si>
    <t>Big Boys Lounge at Gardens Galleria, Noida – 10,000 Sq. Ft. Entertainment Venue: Executed leasing for a spacious 10,000 Sq. Ft. entertainment and gaming lounge, adding a unique experiential dimension to the retail mix.</t>
  </si>
  <si>
    <t>PMC – Yella Hills Resort, Yelagiri: Executed end-to-end PMC for Yella Hills Resort in the scenic Yelagiri hills of Tamil Nadu. Managed sustainable construction practices and resort amenity development to create a premium hill retreat experience.</t>
  </si>
  <si>
    <t>HORECA Supplies – Park Inn by Radisson, Delhi: Executed HORECA supply mandate for Park Inn by Radisson Delhi, meeting Radisson Hotel Group's international procurement standards. Delivered complete kitchen and F&amp;B service equipment for this upscale select-service property.</t>
  </si>
  <si>
    <t>Rosia at AIPL Joy Street, Gurugram: Secured prime retail frontage for Rosia at AIPL Joy Street, Gurugram's emerging lifestyle and dining destination, ensuring prominent brand visibility.</t>
  </si>
  <si>
    <t>Turnkey Project – Peach Tree, Faridabad: Delivered comprehensive turnkey leasing and fit-out advisory for Peach Tree's Faridabad location, managing the complete retail establishment from lease negotiation to operational handover.</t>
  </si>
  <si>
    <t xml:space="preserve">TAKE IMAGES OF INFORMAL, IMPERFECTO, KHUBANI, HABIBI, BEGUM, NOOR, IMPERFECTO BOUTIQUE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</si>
</sst>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4009]#,##0"/>
  </numFmts>
  <fonts count="9" x14ac:knownFonts="1">
    <font>
      <sz val="11"/>
      <color theme="1"/>
      <name val="Aptos Narrow"/>
      <scheme val="minor"/>
    </font>
    <font>
      <b/>
      <sz val="16"/>
      <color rgb="FFFFFFFF"/>
      <name val="Aptos Narrow"/>
    </font>
    <font>
      <b/>
      <sz val="11"/>
      <color rgb="FFFFFFFF"/>
      <name val="Aptos Narrow"/>
    </font>
    <font>
      <sz val="10"/>
      <color rgb="FF000000"/>
      <name val="Aptos Narrow"/>
    </font>
    <font>
      <sz val="9"/>
      <color rgb="FF000000"/>
      <name val="Aptos Narrow"/>
    </font>
    <font>
      <b/>
      <sz val="10"/>
      <color rgb="FF000000"/>
      <name val="Aptos Narrow"/>
    </font>
    <font>
      <b/>
      <sz val="12"/>
      <color rgb="FFFFFFFF"/>
      <name val="Aptos Narrow"/>
    </font>
    <font>
      <i/>
      <sz val="9"/>
      <color rgb="FF808080"/>
      <name val="Aptos Narrow"/>
    </font>
    <font>
      <i/>
      <sz val="9"/>
      <color rgb="FF333333"/>
      <name val="Aptos Narrow"/>
    </font>
  </fonts>
  <fills count="9">
    <fill>
      <patternFill patternType="none"/>
    </fill>
    <fill>
      <patternFill patternType="gray125"/>
    </fill>
    <fill>
      <patternFill patternType="solid">
        <fgColor rgb="FF0D3B66"/>
      </patternFill>
    </fill>
    <fill>
      <patternFill patternType="solid">
        <fgColor rgb="FF2E75B6"/>
      </patternFill>
    </fill>
    <fill>
      <patternFill patternType="solid">
        <fgColor rgb="FF1F4E78"/>
      </patternFill>
    </fill>
    <fill>
      <patternFill patternType="solid">
        <fgColor rgb="FFFFFFFF"/>
      </patternFill>
    </fill>
    <fill>
      <patternFill patternType="solid">
        <fgColor rgb="FFF5F5F5"/>
      </patternFill>
    </fill>
    <fill>
      <patternFill patternType="solid">
        <fgColor rgb="FFE8EEF4"/>
      </patternFill>
    </fill>
    <fill>
      <patternFill patternType="solid">
        <fgColor rgb="FFFAFAFA"/>
      </patternFill>
    </fill>
  </fills>
  <borders count="5">
    <border>
      <left/>
      <right/>
      <top/>
      <bottom/>
      <diagonal/>
    </border>
    <border>
      <left/>
      <right/>
      <top/>
      <bottom/>
      <diagonal/>
    </border>
    <border>
      <left/>
      <right/>
      <top/>
      <bottom style="thick">
        <color rgb="FF000000"/>
      </bottom>
      <diagonal/>
    </border>
    <border>
      <left style="thin">
        <color rgb="FFCCCCCC"/>
      </left>
      <right style="thin">
        <color rgb="FFCCCCCC"/>
      </right>
      <top style="thin">
        <color rgb="FFCCCCCC"/>
      </top>
      <bottom style="thin">
        <color rgb="FFCCCCCC"/>
      </bottom>
      <diagonal/>
    </border>
    <border>
      <left style="thin">
        <color rgb="FFD0D0D0"/>
      </left>
      <right style="thin">
        <color rgb="FFD0D0D0"/>
      </right>
      <top style="thin">
        <color rgb="FFD0D0D0"/>
      </top>
      <bottom style="thin">
        <color rgb="FFD0D0D0"/>
      </bottom>
      <diagonal/>
    </border>
  </borders>
  <cellStyleXfs count="1">
    <xf numFmtId="0" fontId="0" fillId="0" borderId="1"/>
  </cellStyleXfs>
  <cellXfs count="25">
    <xf numFmtId="0" fontId="0" fillId="0" borderId="1" xfId="0"/>
    <xf numFmtId="0" fontId="6" fillId="4" borderId="2" xfId="0" applyFont="1" applyFill="1" applyBorder="1" applyAlignment="1">
      <alignment horizontal="center" vertical="center" wrapText="1"/>
    </xf>
    <xf numFmtId="0" fontId="8" fillId="7" borderId="1" xfId="0" applyFont="1" applyFill="1" applyAlignment="1">
      <alignment horizontal="left" vertical="center" wrapText="1"/>
    </xf>
    <xf numFmtId="0" fontId="3" fillId="5" borderId="4" xfId="0" applyFont="1" applyFill="1" applyBorder="1" applyAlignment="1">
      <alignment horizontal="left" vertical="top" wrapText="1"/>
    </xf>
    <xf numFmtId="0" fontId="3" fillId="8" borderId="4" xfId="0" applyFont="1" applyFill="1" applyBorder="1" applyAlignment="1">
      <alignment horizontal="left" vertical="top" wrapText="1"/>
    </xf>
    <xf numFmtId="0" fontId="0" fillId="0" borderId="1" xfId="0" applyAlignment="1">
      <alignment wrapText="1"/>
    </xf>
    <xf numFmtId="0" fontId="2" fillId="4" borderId="2" xfId="0" applyFont="1" applyFill="1" applyBorder="1" applyAlignment="1">
      <alignment horizontal="center" vertical="center" wrapText="1"/>
    </xf>
    <xf numFmtId="0" fontId="6" fillId="2" borderId="1" xfId="0" applyFont="1" applyFill="1" applyAlignment="1">
      <alignment horizontal="center" vertical="center" wrapText="1"/>
    </xf>
    <xf numFmtId="165" fontId="6" fillId="2" borderId="1" xfId="0" applyNumberFormat="1" applyFont="1" applyFill="1" applyAlignment="1">
      <alignment horizontal="center" vertical="center" wrapText="1"/>
    </xf>
    <xf numFmtId="0" fontId="3" fillId="5" borderId="3"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5" fillId="5" borderId="3" xfId="0" applyFont="1" applyFill="1" applyBorder="1" applyAlignment="1">
      <alignment horizontal="center" vertical="center" wrapText="1"/>
    </xf>
    <xf numFmtId="164" fontId="3" fillId="5" borderId="3" xfId="0" applyNumberFormat="1" applyFont="1" applyFill="1" applyBorder="1" applyAlignment="1">
      <alignment horizontal="center" vertical="center" wrapText="1"/>
    </xf>
    <xf numFmtId="0" fontId="3" fillId="6"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5" fillId="6" borderId="3" xfId="0" applyFont="1" applyFill="1" applyBorder="1" applyAlignment="1">
      <alignment horizontal="center" vertical="center" wrapText="1"/>
    </xf>
    <xf numFmtId="164" fontId="3" fillId="6" borderId="3" xfId="0" applyNumberFormat="1" applyFont="1" applyFill="1" applyBorder="1" applyAlignment="1">
      <alignment horizontal="center" vertical="center" wrapText="1"/>
    </xf>
    <xf numFmtId="0" fontId="0" fillId="5" borderId="1" xfId="0" applyFill="1" applyAlignment="1">
      <alignment horizontal="center" vertical="center" wrapText="1"/>
    </xf>
    <xf numFmtId="0" fontId="0" fillId="0" borderId="1" xfId="0" applyAlignment="1">
      <alignment horizontal="center" vertical="center" wrapText="1"/>
    </xf>
    <xf numFmtId="0" fontId="1" fillId="2" borderId="1" xfId="0" applyFont="1" applyFill="1" applyAlignment="1">
      <alignment horizontal="center" vertical="center" wrapText="1"/>
    </xf>
    <xf numFmtId="0" fontId="0" fillId="0" borderId="1" xfId="0" applyAlignment="1">
      <alignment wrapText="1"/>
    </xf>
    <xf numFmtId="0" fontId="7" fillId="0" borderId="1" xfId="0" applyFont="1" applyAlignment="1">
      <alignment horizontal="center" vertical="center" wrapText="1"/>
    </xf>
    <xf numFmtId="0" fontId="2" fillId="3" borderId="1" xfId="0" applyFont="1" applyFill="1" applyAlignment="1">
      <alignment horizontal="center" vertical="center" wrapText="1"/>
    </xf>
    <xf numFmtId="0" fontId="6" fillId="2" borderId="1" xfId="0" applyFont="1" applyFill="1" applyAlignment="1">
      <alignment horizontal="center" vertical="center" wrapText="1"/>
    </xf>
    <xf numFmtId="0" fontId="0" fillId="0" borderId="1"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F0928-BD38-BA88-73F3-D5ADFF9C6B88}">
  <dimension ref="A1:J15"/>
  <sheetViews>
    <sheetView tabSelected="1" workbookViewId="0">
      <pane ySplit="2" topLeftCell="A3" activePane="bottomLeft" state="frozen"/>
      <selection pane="bottomLeft" activeCell="B8" sqref="B8"/>
    </sheetView>
  </sheetViews>
  <sheetFormatPr defaultColWidth="9.1328125" defaultRowHeight="14.25" customHeight="1" x14ac:dyDescent="0.45"/>
  <cols>
    <col min="1" max="1" width="25.1328125" style="18" bestFit="1" customWidth="1"/>
    <col min="2" max="2" width="66.9296875" style="18" bestFit="1" customWidth="1"/>
    <col min="3" max="3" width="22" style="18" bestFit="1" customWidth="1"/>
    <col min="4" max="4" width="36" style="18" bestFit="1" customWidth="1"/>
    <col min="5" max="5" width="48.9296875" style="18" bestFit="1" customWidth="1"/>
    <col min="6" max="6" width="13.33203125" style="18" bestFit="1" customWidth="1"/>
    <col min="7" max="7" width="96.46484375" style="18" customWidth="1"/>
    <col min="8" max="8" width="41.86328125" style="18" bestFit="1" customWidth="1"/>
    <col min="9" max="9" width="18.46484375" style="18" bestFit="1" customWidth="1"/>
    <col min="10" max="10" width="15.59765625" style="18" bestFit="1" customWidth="1"/>
  </cols>
  <sheetData>
    <row r="1" spans="1:10" x14ac:dyDescent="0.45">
      <c r="A1" s="19" t="s">
        <v>0</v>
      </c>
      <c r="B1" s="22"/>
      <c r="C1" s="22"/>
      <c r="D1" s="22"/>
      <c r="E1" s="22"/>
      <c r="F1" s="22"/>
      <c r="G1" s="22"/>
      <c r="H1" s="22"/>
      <c r="I1" s="22" t="s">
        <v>1</v>
      </c>
      <c r="J1" s="22"/>
    </row>
    <row r="2" spans="1:10" x14ac:dyDescent="0.45">
      <c r="A2" s="6" t="s">
        <v>2</v>
      </c>
      <c r="B2" s="6" t="s">
        <v>3</v>
      </c>
      <c r="C2" s="6" t="s">
        <v>4</v>
      </c>
      <c r="D2" s="6" t="s">
        <v>5</v>
      </c>
      <c r="E2" s="6" t="s">
        <v>6</v>
      </c>
      <c r="F2" s="6" t="s">
        <v>7</v>
      </c>
      <c r="G2" s="6" t="s">
        <v>8</v>
      </c>
      <c r="H2" s="6" t="s">
        <v>9</v>
      </c>
      <c r="I2" s="6" t="s">
        <v>10</v>
      </c>
      <c r="J2" s="6" t="s">
        <v>11</v>
      </c>
    </row>
    <row r="3" spans="1:10" ht="52.5" x14ac:dyDescent="0.45">
      <c r="A3" s="9" t="s">
        <v>12</v>
      </c>
      <c r="B3" s="10" t="s">
        <v>13</v>
      </c>
      <c r="C3" s="11" t="s">
        <v>14</v>
      </c>
      <c r="D3" s="9" t="s">
        <v>15</v>
      </c>
      <c r="E3" s="9" t="s">
        <v>16</v>
      </c>
      <c r="F3" s="9" t="s">
        <v>17</v>
      </c>
      <c r="G3" s="9" t="s">
        <v>18</v>
      </c>
      <c r="H3" s="9" t="s">
        <v>19</v>
      </c>
      <c r="I3" s="12">
        <v>400</v>
      </c>
      <c r="J3" s="9" t="s">
        <v>20</v>
      </c>
    </row>
    <row r="4" spans="1:10" ht="39.4" x14ac:dyDescent="0.45">
      <c r="A4" s="13"/>
      <c r="B4" s="14"/>
      <c r="C4" s="15" t="s">
        <v>21</v>
      </c>
      <c r="D4" s="13" t="s">
        <v>22</v>
      </c>
      <c r="E4" s="13" t="s">
        <v>23</v>
      </c>
      <c r="F4" s="13" t="s">
        <v>24</v>
      </c>
      <c r="G4" s="13" t="s">
        <v>25</v>
      </c>
      <c r="H4" s="13" t="s">
        <v>26</v>
      </c>
      <c r="I4" s="16">
        <v>100</v>
      </c>
      <c r="J4" s="13" t="s">
        <v>20</v>
      </c>
    </row>
    <row r="5" spans="1:10" ht="52.5" x14ac:dyDescent="0.45">
      <c r="A5" s="9" t="s">
        <v>27</v>
      </c>
      <c r="B5" s="10" t="s">
        <v>28</v>
      </c>
      <c r="C5" s="11" t="s">
        <v>29</v>
      </c>
      <c r="D5" s="9" t="s">
        <v>30</v>
      </c>
      <c r="E5" s="9" t="s">
        <v>31</v>
      </c>
      <c r="F5" s="9" t="s">
        <v>32</v>
      </c>
      <c r="G5" s="9" t="s">
        <v>33</v>
      </c>
      <c r="H5" s="9" t="s">
        <v>34</v>
      </c>
      <c r="I5" s="12">
        <v>70</v>
      </c>
      <c r="J5" s="9" t="s">
        <v>35</v>
      </c>
    </row>
    <row r="6" spans="1:10" ht="65.650000000000006" x14ac:dyDescent="0.45">
      <c r="A6" s="13" t="s">
        <v>36</v>
      </c>
      <c r="B6" s="14" t="s">
        <v>37</v>
      </c>
      <c r="C6" s="15" t="s">
        <v>38</v>
      </c>
      <c r="D6" s="13" t="s">
        <v>39</v>
      </c>
      <c r="E6" s="13" t="s">
        <v>40</v>
      </c>
      <c r="F6" s="13" t="s">
        <v>41</v>
      </c>
      <c r="G6" s="13" t="s">
        <v>42</v>
      </c>
      <c r="H6" s="13" t="s">
        <v>43</v>
      </c>
      <c r="I6" s="16">
        <v>45</v>
      </c>
      <c r="J6" s="13" t="s">
        <v>35</v>
      </c>
    </row>
    <row r="7" spans="1:10" ht="39.4" x14ac:dyDescent="0.45">
      <c r="A7" s="9" t="s">
        <v>44</v>
      </c>
      <c r="B7" s="10" t="s">
        <v>127</v>
      </c>
      <c r="C7" s="11" t="s">
        <v>45</v>
      </c>
      <c r="D7" s="9" t="s">
        <v>46</v>
      </c>
      <c r="E7" s="9" t="s">
        <v>47</v>
      </c>
      <c r="F7" s="9" t="s">
        <v>48</v>
      </c>
      <c r="G7" s="9" t="s">
        <v>49</v>
      </c>
      <c r="H7" s="9" t="s">
        <v>50</v>
      </c>
      <c r="I7" s="12">
        <v>20</v>
      </c>
      <c r="J7" s="9" t="s">
        <v>35</v>
      </c>
    </row>
    <row r="8" spans="1:10" ht="65.650000000000006" x14ac:dyDescent="0.45">
      <c r="A8" s="13" t="s">
        <v>51</v>
      </c>
      <c r="B8" s="14" t="s">
        <v>52</v>
      </c>
      <c r="C8" s="15" t="s">
        <v>53</v>
      </c>
      <c r="D8" s="13" t="s">
        <v>54</v>
      </c>
      <c r="E8" s="13" t="s">
        <v>55</v>
      </c>
      <c r="F8" s="13" t="s">
        <v>56</v>
      </c>
      <c r="G8" s="13" t="s">
        <v>57</v>
      </c>
      <c r="H8" s="13" t="s">
        <v>58</v>
      </c>
      <c r="I8" s="16">
        <v>30</v>
      </c>
      <c r="J8" s="13" t="s">
        <v>35</v>
      </c>
    </row>
    <row r="9" spans="1:10" ht="52.5" x14ac:dyDescent="0.45">
      <c r="A9" s="9" t="s">
        <v>59</v>
      </c>
      <c r="B9" s="10" t="s">
        <v>60</v>
      </c>
      <c r="C9" s="11" t="s">
        <v>61</v>
      </c>
      <c r="D9" s="9" t="s">
        <v>62</v>
      </c>
      <c r="E9" s="9" t="s">
        <v>63</v>
      </c>
      <c r="F9" s="9" t="s">
        <v>24</v>
      </c>
      <c r="G9" s="9" t="s">
        <v>64</v>
      </c>
      <c r="H9" s="9" t="s">
        <v>65</v>
      </c>
      <c r="I9" s="12">
        <v>350</v>
      </c>
      <c r="J9" s="9" t="s">
        <v>20</v>
      </c>
    </row>
    <row r="10" spans="1:10" ht="39.4" x14ac:dyDescent="0.45">
      <c r="A10" s="13" t="s">
        <v>66</v>
      </c>
      <c r="B10" s="14" t="s">
        <v>67</v>
      </c>
      <c r="C10" s="15" t="s">
        <v>68</v>
      </c>
      <c r="D10" s="13" t="s">
        <v>69</v>
      </c>
      <c r="E10" s="13" t="s">
        <v>70</v>
      </c>
      <c r="F10" s="13" t="s">
        <v>71</v>
      </c>
      <c r="G10" s="13" t="s">
        <v>72</v>
      </c>
      <c r="H10" s="13" t="s">
        <v>73</v>
      </c>
      <c r="I10" s="16">
        <v>150</v>
      </c>
      <c r="J10" s="13" t="s">
        <v>20</v>
      </c>
    </row>
    <row r="11" spans="1:10" x14ac:dyDescent="0.45">
      <c r="A11" s="17"/>
      <c r="B11" s="17"/>
      <c r="C11" s="17"/>
      <c r="D11" s="17"/>
      <c r="E11" s="17"/>
      <c r="F11" s="17"/>
      <c r="G11" s="17"/>
      <c r="H11" s="17"/>
      <c r="I11" s="17"/>
      <c r="J11" s="17"/>
    </row>
    <row r="12" spans="1:10" ht="15.75" x14ac:dyDescent="0.45">
      <c r="A12" s="23" t="s">
        <v>74</v>
      </c>
      <c r="B12" s="23"/>
      <c r="C12" s="23"/>
      <c r="D12" s="23"/>
      <c r="E12" s="23"/>
      <c r="F12" s="23"/>
      <c r="G12" s="7" t="s">
        <v>75</v>
      </c>
      <c r="H12" s="7"/>
      <c r="I12" s="8">
        <f>SUM(I2:I11)</f>
        <v>1165</v>
      </c>
      <c r="J12" s="7"/>
    </row>
    <row r="13" spans="1:10" x14ac:dyDescent="0.45"/>
    <row r="14" spans="1:10" x14ac:dyDescent="0.45">
      <c r="A14" s="21" t="s">
        <v>76</v>
      </c>
      <c r="B14" s="24"/>
      <c r="C14" s="24"/>
      <c r="D14" s="24"/>
      <c r="E14" s="24"/>
      <c r="F14" s="24"/>
      <c r="G14" s="24"/>
      <c r="H14" s="24"/>
      <c r="I14" s="24"/>
      <c r="J14" s="24"/>
    </row>
    <row r="15" spans="1:10" x14ac:dyDescent="0.45"/>
  </sheetData>
  <mergeCells count="3">
    <mergeCell ref="A1:J1"/>
    <mergeCell ref="A12:F12"/>
    <mergeCell ref="A14:J14"/>
  </mergeCells>
  <pageMargins left="0.7" right="0.7" top="0.75" bottom="0.75" header="0.3" footer="0.3"/>
  <pageSetup orientation="portrait"/>
  <headerFooter>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22868-01D8-BC18-1098-651A2CC11908}">
  <dimension ref="A1:F15"/>
  <sheetViews>
    <sheetView workbookViewId="0">
      <pane ySplit="3" topLeftCell="A4" activePane="bottomLeft" state="frozen"/>
      <selection pane="bottomLeft" sqref="A1:F1"/>
    </sheetView>
  </sheetViews>
  <sheetFormatPr defaultColWidth="9.1328125" defaultRowHeight="14.25" customHeight="1" x14ac:dyDescent="0.45"/>
  <cols>
    <col min="1" max="6" width="31.3984375" style="5" customWidth="1"/>
  </cols>
  <sheetData>
    <row r="1" spans="1:6" ht="33.75" customHeight="1" x14ac:dyDescent="0.45">
      <c r="A1" s="19" t="s">
        <v>77</v>
      </c>
      <c r="B1" s="20"/>
      <c r="C1" s="20"/>
      <c r="D1" s="20"/>
      <c r="E1" s="20"/>
      <c r="F1" s="20"/>
    </row>
    <row r="2" spans="1:6" ht="16.5" customHeight="1" x14ac:dyDescent="0.45">
      <c r="A2" s="1" t="s">
        <v>78</v>
      </c>
      <c r="B2" s="1" t="s">
        <v>79</v>
      </c>
      <c r="C2" s="1" t="s">
        <v>80</v>
      </c>
      <c r="D2" s="1" t="s">
        <v>81</v>
      </c>
      <c r="E2" s="1" t="s">
        <v>82</v>
      </c>
      <c r="F2" s="1" t="s">
        <v>83</v>
      </c>
    </row>
    <row r="3" spans="1:6" ht="18.75" customHeight="1" x14ac:dyDescent="0.45">
      <c r="A3" s="2" t="s">
        <v>84</v>
      </c>
      <c r="B3" s="2" t="s">
        <v>85</v>
      </c>
      <c r="C3" s="2" t="s">
        <v>86</v>
      </c>
      <c r="D3" s="2" t="s">
        <v>87</v>
      </c>
      <c r="E3" s="2" t="s">
        <v>88</v>
      </c>
      <c r="F3" s="2" t="s">
        <v>89</v>
      </c>
    </row>
    <row r="4" spans="1:6" ht="158.25" customHeight="1" x14ac:dyDescent="0.45">
      <c r="A4" s="3" t="s">
        <v>90</v>
      </c>
      <c r="B4" s="3" t="s">
        <v>91</v>
      </c>
      <c r="C4" s="3" t="s">
        <v>92</v>
      </c>
      <c r="D4" s="3" t="s">
        <v>93</v>
      </c>
      <c r="E4" s="3" t="s">
        <v>94</v>
      </c>
      <c r="F4" s="3" t="s">
        <v>95</v>
      </c>
    </row>
    <row r="5" spans="1:6" ht="134.25" customHeight="1" x14ac:dyDescent="0.45">
      <c r="A5" s="4" t="s">
        <v>96</v>
      </c>
      <c r="B5" s="4" t="s">
        <v>97</v>
      </c>
      <c r="C5" s="4" t="s">
        <v>98</v>
      </c>
      <c r="D5" s="4" t="s">
        <v>99</v>
      </c>
      <c r="E5" s="4"/>
      <c r="F5" s="4" t="s">
        <v>100</v>
      </c>
    </row>
    <row r="6" spans="1:6" ht="110.25" customHeight="1" x14ac:dyDescent="0.45">
      <c r="A6" s="3" t="s">
        <v>101</v>
      </c>
      <c r="B6" s="3" t="s">
        <v>102</v>
      </c>
      <c r="C6" s="3" t="s">
        <v>103</v>
      </c>
      <c r="D6" s="3"/>
      <c r="E6" s="3"/>
      <c r="F6" s="3" t="s">
        <v>104</v>
      </c>
    </row>
    <row r="7" spans="1:6" ht="122.25" customHeight="1" x14ac:dyDescent="0.45">
      <c r="A7" s="4" t="s">
        <v>105</v>
      </c>
      <c r="B7" s="4" t="s">
        <v>106</v>
      </c>
      <c r="C7" s="4" t="s">
        <v>107</v>
      </c>
      <c r="D7" s="4"/>
      <c r="E7" s="4"/>
      <c r="F7" s="4" t="s">
        <v>108</v>
      </c>
    </row>
    <row r="8" spans="1:6" ht="110.25" customHeight="1" x14ac:dyDescent="0.45">
      <c r="A8" s="3" t="s">
        <v>109</v>
      </c>
      <c r="B8" s="3" t="s">
        <v>110</v>
      </c>
      <c r="C8" s="3" t="s">
        <v>111</v>
      </c>
      <c r="D8" s="3"/>
      <c r="E8" s="3"/>
      <c r="F8" s="3" t="s">
        <v>112</v>
      </c>
    </row>
    <row r="9" spans="1:6" ht="110.25" customHeight="1" x14ac:dyDescent="0.45">
      <c r="A9" s="4"/>
      <c r="B9" s="4" t="s">
        <v>113</v>
      </c>
      <c r="C9" s="4" t="s">
        <v>114</v>
      </c>
      <c r="D9" s="4"/>
      <c r="E9" s="4"/>
      <c r="F9" s="4" t="s">
        <v>115</v>
      </c>
    </row>
    <row r="10" spans="1:6" ht="110.25" customHeight="1" x14ac:dyDescent="0.45">
      <c r="A10" s="3"/>
      <c r="B10" s="3" t="s">
        <v>116</v>
      </c>
      <c r="C10" s="3" t="s">
        <v>117</v>
      </c>
      <c r="D10" s="3"/>
      <c r="E10" s="3"/>
      <c r="F10" s="3" t="s">
        <v>118</v>
      </c>
    </row>
    <row r="11" spans="1:6" ht="98.25" customHeight="1" x14ac:dyDescent="0.45">
      <c r="A11" s="4"/>
      <c r="B11" s="4" t="s">
        <v>119</v>
      </c>
      <c r="C11" s="4" t="s">
        <v>120</v>
      </c>
      <c r="D11" s="4"/>
      <c r="E11" s="4"/>
      <c r="F11" s="4" t="s">
        <v>121</v>
      </c>
    </row>
    <row r="12" spans="1:6" ht="98.25" customHeight="1" x14ac:dyDescent="0.45">
      <c r="A12" s="3"/>
      <c r="B12" s="3" t="s">
        <v>122</v>
      </c>
      <c r="C12" s="3" t="s">
        <v>123</v>
      </c>
      <c r="D12" s="3"/>
      <c r="E12" s="3"/>
      <c r="F12" s="3" t="s">
        <v>124</v>
      </c>
    </row>
    <row r="13" spans="1:6" ht="74.25" customHeight="1" x14ac:dyDescent="0.45">
      <c r="A13" s="4"/>
      <c r="B13" s="4" t="s">
        <v>125</v>
      </c>
      <c r="C13" s="4"/>
      <c r="D13" s="4"/>
      <c r="E13" s="4"/>
      <c r="F13" s="4"/>
    </row>
    <row r="14" spans="1:6" ht="86.25" customHeight="1" x14ac:dyDescent="0.45">
      <c r="A14" s="3"/>
      <c r="B14" s="3" t="s">
        <v>126</v>
      </c>
      <c r="C14" s="3"/>
      <c r="D14" s="3"/>
      <c r="E14" s="3"/>
      <c r="F14" s="3"/>
    </row>
    <row r="15" spans="1:6" ht="12.75" customHeight="1" x14ac:dyDescent="0.45">
      <c r="A15" s="21" t="s">
        <v>76</v>
      </c>
      <c r="B15" s="20"/>
      <c r="C15" s="20"/>
      <c r="D15" s="20"/>
      <c r="E15" s="20"/>
      <c r="F15" s="20"/>
    </row>
  </sheetData>
  <mergeCells count="2">
    <mergeCell ref="A1:F1"/>
    <mergeCell ref="A15:F15"/>
  </mergeCells>
  <pageMargins left="0.7" right="0.7" top="0.75" bottom="0.75" header="0.3" footer="0.3"/>
  <pageSetup orientation="portrait"/>
  <headerFooter>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Mandates Portfolio</vt:lpstr>
      <vt:lpstr>Vertical Track Record Portfolio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Kumar Manikonda</dc:creator>
  <cp:lastModifiedBy>Arun Kumar Manikonda</cp:lastModifiedBy>
  <cp:lastPrinted>2026-03-09T08:01:36Z</cp:lastPrinted>
  <dcterms:created xsi:type="dcterms:W3CDTF">2026-03-09T07:23:27Z</dcterms:created>
  <dcterms:modified xsi:type="dcterms:W3CDTF">2026-03-12T20:08:41Z</dcterms:modified>
</cp:coreProperties>
</file>